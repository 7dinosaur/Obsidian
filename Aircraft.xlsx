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Data\Personal\Obsidian\"/>
    </mc:Choice>
  </mc:AlternateContent>
  <xr:revisionPtr revIDLastSave="0" documentId="8_{0F6F1BEF-244E-48E1-A77B-B845785B4E77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3" i="1" l="1"/>
  <c r="M44" i="1"/>
  <c r="M45" i="1"/>
  <c r="M46" i="1"/>
  <c r="M47" i="1"/>
  <c r="M48" i="1"/>
  <c r="M49" i="1"/>
  <c r="M50" i="1"/>
  <c r="M42" i="1"/>
  <c r="L42" i="1"/>
  <c r="L43" i="1"/>
  <c r="L44" i="1"/>
  <c r="L45" i="1"/>
  <c r="L46" i="1"/>
  <c r="L47" i="1"/>
  <c r="L48" i="1"/>
  <c r="L49" i="1"/>
  <c r="L50" i="1"/>
  <c r="L41" i="1"/>
  <c r="M41" i="1" s="1"/>
  <c r="M32" i="1"/>
  <c r="M33" i="1"/>
  <c r="M34" i="1"/>
  <c r="M35" i="1"/>
  <c r="M36" i="1"/>
  <c r="M37" i="1"/>
  <c r="M38" i="1"/>
  <c r="M39" i="1"/>
  <c r="M40" i="1"/>
  <c r="M31" i="1"/>
  <c r="L32" i="1"/>
  <c r="L33" i="1"/>
  <c r="L34" i="1"/>
  <c r="L35" i="1"/>
  <c r="L36" i="1"/>
  <c r="L37" i="1"/>
  <c r="L38" i="1"/>
  <c r="L39" i="1"/>
  <c r="L40" i="1"/>
  <c r="L31" i="1"/>
  <c r="M22" i="1"/>
  <c r="M23" i="1"/>
  <c r="M24" i="1"/>
  <c r="M25" i="1"/>
  <c r="M26" i="1"/>
  <c r="L30" i="1"/>
  <c r="M30" i="1" s="1"/>
  <c r="L29" i="1"/>
  <c r="M29" i="1" s="1"/>
  <c r="L22" i="1"/>
  <c r="L23" i="1"/>
  <c r="L24" i="1"/>
  <c r="L25" i="1"/>
  <c r="L26" i="1"/>
  <c r="L27" i="1"/>
  <c r="M27" i="1" s="1"/>
  <c r="L28" i="1"/>
  <c r="M28" i="1" s="1"/>
  <c r="L21" i="1"/>
  <c r="M21" i="1" s="1"/>
  <c r="M11" i="1"/>
  <c r="M12" i="1"/>
  <c r="M13" i="1"/>
  <c r="M10" i="1"/>
  <c r="L11" i="1"/>
  <c r="L12" i="1"/>
  <c r="L13" i="1"/>
  <c r="L14" i="1"/>
  <c r="M14" i="1" s="1"/>
  <c r="L15" i="1"/>
  <c r="M15" i="1" s="1"/>
  <c r="L16" i="1"/>
  <c r="M16" i="1" s="1"/>
  <c r="L17" i="1"/>
  <c r="M17" i="1" s="1"/>
  <c r="L18" i="1"/>
  <c r="M18" i="1" s="1"/>
  <c r="L19" i="1"/>
  <c r="M19" i="1" s="1"/>
  <c r="L20" i="1"/>
  <c r="M20" i="1" s="1"/>
  <c r="L10" i="1"/>
  <c r="L4" i="1"/>
  <c r="K4" i="1" l="1"/>
  <c r="M4" i="1" s="1"/>
  <c r="H4" i="1" s="1"/>
  <c r="J4" i="1"/>
  <c r="I4" i="1" s="1"/>
  <c r="E4" i="1" s="1"/>
</calcChain>
</file>

<file path=xl/sharedStrings.xml><?xml version="1.0" encoding="utf-8"?>
<sst xmlns="http://schemas.openxmlformats.org/spreadsheetml/2006/main" count="39" uniqueCount="39">
  <si>
    <t>巡航重量</t>
    <phoneticPr fontId="1" type="noConversion"/>
  </si>
  <si>
    <t>参考面积</t>
    <phoneticPr fontId="1" type="noConversion"/>
  </si>
  <si>
    <t>升力系数</t>
    <phoneticPr fontId="1" type="noConversion"/>
  </si>
  <si>
    <t>飞行马赫数</t>
    <phoneticPr fontId="1" type="noConversion"/>
  </si>
  <si>
    <t>绝对飞行速度</t>
    <phoneticPr fontId="1" type="noConversion"/>
  </si>
  <si>
    <t>大气密度</t>
    <phoneticPr fontId="1" type="noConversion"/>
  </si>
  <si>
    <t>大气静压</t>
    <phoneticPr fontId="1" type="noConversion"/>
  </si>
  <si>
    <t>大气温度</t>
    <phoneticPr fontId="1" type="noConversion"/>
  </si>
  <si>
    <t>飞行高度/m</t>
    <phoneticPr fontId="1" type="noConversion"/>
  </si>
  <si>
    <t>海平面参数</t>
    <phoneticPr fontId="1" type="noConversion"/>
  </si>
  <si>
    <t>温度/K</t>
    <phoneticPr fontId="1" type="noConversion"/>
  </si>
  <si>
    <t>压强/Pa</t>
    <phoneticPr fontId="1" type="noConversion"/>
  </si>
  <si>
    <t>密度/kg·m-3</t>
    <phoneticPr fontId="1" type="noConversion"/>
  </si>
  <si>
    <t>位势高度</t>
    <phoneticPr fontId="1" type="noConversion"/>
  </si>
  <si>
    <t>声速</t>
    <phoneticPr fontId="1" type="noConversion"/>
  </si>
  <si>
    <t>定升力</t>
    <phoneticPr fontId="1" type="noConversion"/>
  </si>
  <si>
    <t>当地大气参数</t>
    <phoneticPr fontId="1" type="noConversion"/>
  </si>
  <si>
    <t>空重系数</t>
    <phoneticPr fontId="1" type="noConversion"/>
  </si>
  <si>
    <t>载客量</t>
    <phoneticPr fontId="1" type="noConversion"/>
  </si>
  <si>
    <t>乘客重量/kg</t>
    <phoneticPr fontId="1" type="noConversion"/>
  </si>
  <si>
    <t>升阻比</t>
    <phoneticPr fontId="1" type="noConversion"/>
  </si>
  <si>
    <t>航程</t>
    <phoneticPr fontId="1" type="noConversion"/>
  </si>
  <si>
    <t>耗油率</t>
    <phoneticPr fontId="1" type="noConversion"/>
  </si>
  <si>
    <t>起飞总重</t>
    <phoneticPr fontId="1" type="noConversion"/>
  </si>
  <si>
    <t>重量估算</t>
    <phoneticPr fontId="1" type="noConversion"/>
  </si>
  <si>
    <t>燃油重量</t>
    <phoneticPr fontId="1" type="noConversion"/>
  </si>
  <si>
    <t>绿色单元格为输入，红色单元格为输出</t>
    <phoneticPr fontId="1" type="noConversion"/>
  </si>
  <si>
    <t>飞机重量</t>
    <phoneticPr fontId="1" type="noConversion"/>
  </si>
  <si>
    <t>飞机长度</t>
    <phoneticPr fontId="1" type="noConversion"/>
  </si>
  <si>
    <t>巡航高度</t>
    <phoneticPr fontId="1" type="noConversion"/>
  </si>
  <si>
    <t>巡航马赫数</t>
    <phoneticPr fontId="1" type="noConversion"/>
  </si>
  <si>
    <t>y</t>
    <phoneticPr fontId="1" type="noConversion"/>
  </si>
  <si>
    <t>F</t>
    <phoneticPr fontId="1" type="noConversion"/>
  </si>
  <si>
    <t>k1</t>
    <phoneticPr fontId="1" type="noConversion"/>
  </si>
  <si>
    <t>C</t>
    <phoneticPr fontId="1" type="noConversion"/>
  </si>
  <si>
    <t>H</t>
    <phoneticPr fontId="1" type="noConversion"/>
  </si>
  <si>
    <t>yf</t>
    <phoneticPr fontId="1" type="noConversion"/>
  </si>
  <si>
    <t>λ</t>
    <phoneticPr fontId="1" type="noConversion"/>
  </si>
  <si>
    <t>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</si>
</sst>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b/>
      <sz val="16"/>
      <color theme="1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00B050"/>
      </left>
      <right style="thin">
        <color rgb="FF00B050"/>
      </right>
      <top style="thin">
        <color rgb="FF00B050"/>
      </top>
      <bottom style="thin">
        <color rgb="FF00B050"/>
      </bottom>
      <diagonal/>
    </border>
    <border>
      <left style="thin">
        <color rgb="FF00B050"/>
      </left>
      <right style="thin">
        <color rgb="FF00B050"/>
      </right>
      <top/>
      <bottom style="thin">
        <color rgb="FF00B05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Sheet1!$M$9</c:f>
              <c:strCache>
                <c:ptCount val="1"/>
                <c:pt idx="0">
                  <c:v>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Sheet1!$L$10:$L$50</c:f>
              <c:numCache>
                <c:formatCode>General</c:formatCode>
                <c:ptCount val="41"/>
                <c:pt idx="0">
                  <c:v>0</c:v>
                </c:pt>
                <c:pt idx="1">
                  <c:v>0.125</c:v>
                </c:pt>
                <c:pt idx="2">
                  <c:v>0.25</c:v>
                </c:pt>
                <c:pt idx="3">
                  <c:v>0.37500000000000006</c:v>
                </c:pt>
                <c:pt idx="4">
                  <c:v>0.5</c:v>
                </c:pt>
                <c:pt idx="5">
                  <c:v>0.625</c:v>
                </c:pt>
                <c:pt idx="6">
                  <c:v>0.75000000000000011</c:v>
                </c:pt>
                <c:pt idx="7">
                  <c:v>0.87500000000000011</c:v>
                </c:pt>
                <c:pt idx="8">
                  <c:v>1</c:v>
                </c:pt>
                <c:pt idx="9">
                  <c:v>1.125</c:v>
                </c:pt>
                <c:pt idx="10">
                  <c:v>1.25</c:v>
                </c:pt>
                <c:pt idx="11">
                  <c:v>1.375</c:v>
                </c:pt>
                <c:pt idx="12">
                  <c:v>1.5</c:v>
                </c:pt>
                <c:pt idx="13">
                  <c:v>1.625</c:v>
                </c:pt>
                <c:pt idx="14">
                  <c:v>1.75</c:v>
                </c:pt>
                <c:pt idx="15">
                  <c:v>1.875</c:v>
                </c:pt>
                <c:pt idx="16">
                  <c:v>2</c:v>
                </c:pt>
                <c:pt idx="17">
                  <c:v>2.125</c:v>
                </c:pt>
                <c:pt idx="18">
                  <c:v>2.25</c:v>
                </c:pt>
                <c:pt idx="19">
                  <c:v>2.375</c:v>
                </c:pt>
                <c:pt idx="20">
                  <c:v>2.5</c:v>
                </c:pt>
                <c:pt idx="21">
                  <c:v>6.75</c:v>
                </c:pt>
                <c:pt idx="22">
                  <c:v>11</c:v>
                </c:pt>
                <c:pt idx="23">
                  <c:v>15.250000000000002</c:v>
                </c:pt>
                <c:pt idx="24">
                  <c:v>19.5</c:v>
                </c:pt>
                <c:pt idx="25">
                  <c:v>23.75</c:v>
                </c:pt>
                <c:pt idx="26">
                  <c:v>28.000000000000004</c:v>
                </c:pt>
                <c:pt idx="27">
                  <c:v>32.25</c:v>
                </c:pt>
                <c:pt idx="28">
                  <c:v>36.5</c:v>
                </c:pt>
                <c:pt idx="29">
                  <c:v>40.75</c:v>
                </c:pt>
                <c:pt idx="30">
                  <c:v>45</c:v>
                </c:pt>
                <c:pt idx="31">
                  <c:v>47.7</c:v>
                </c:pt>
                <c:pt idx="32">
                  <c:v>50.4</c:v>
                </c:pt>
                <c:pt idx="33">
                  <c:v>53.1</c:v>
                </c:pt>
                <c:pt idx="34">
                  <c:v>55.8</c:v>
                </c:pt>
                <c:pt idx="35">
                  <c:v>58.5</c:v>
                </c:pt>
                <c:pt idx="36">
                  <c:v>61.2</c:v>
                </c:pt>
                <c:pt idx="37">
                  <c:v>63.900000000000006</c:v>
                </c:pt>
                <c:pt idx="38">
                  <c:v>66.599999999999994</c:v>
                </c:pt>
                <c:pt idx="39">
                  <c:v>69.3</c:v>
                </c:pt>
                <c:pt idx="40">
                  <c:v>72</c:v>
                </c:pt>
              </c:numCache>
            </c:numRef>
          </c:xVal>
          <c:yVal>
            <c:numRef>
              <c:f>Sheet1!$M$10:$M$50</c:f>
              <c:numCache>
                <c:formatCode>General</c:formatCode>
                <c:ptCount val="41"/>
                <c:pt idx="0">
                  <c:v>0</c:v>
                </c:pt>
                <c:pt idx="1">
                  <c:v>3.3E-3</c:v>
                </c:pt>
                <c:pt idx="2">
                  <c:v>6.6E-3</c:v>
                </c:pt>
                <c:pt idx="3">
                  <c:v>9.9000000000000025E-3</c:v>
                </c:pt>
                <c:pt idx="4">
                  <c:v>1.32E-2</c:v>
                </c:pt>
                <c:pt idx="5">
                  <c:v>1.6500000000000001E-2</c:v>
                </c:pt>
                <c:pt idx="6">
                  <c:v>1.9800000000000005E-2</c:v>
                </c:pt>
                <c:pt idx="7">
                  <c:v>2.3100000000000002E-2</c:v>
                </c:pt>
                <c:pt idx="8">
                  <c:v>2.64E-2</c:v>
                </c:pt>
                <c:pt idx="9">
                  <c:v>2.9700000000000004E-2</c:v>
                </c:pt>
                <c:pt idx="10">
                  <c:v>3.3000000000000002E-2</c:v>
                </c:pt>
                <c:pt idx="11">
                  <c:v>3.1899999999999998E-2</c:v>
                </c:pt>
                <c:pt idx="12">
                  <c:v>3.0800000000000001E-2</c:v>
                </c:pt>
                <c:pt idx="13">
                  <c:v>2.9700000000000001E-2</c:v>
                </c:pt>
                <c:pt idx="14">
                  <c:v>2.86E-2</c:v>
                </c:pt>
                <c:pt idx="15">
                  <c:v>2.75E-2</c:v>
                </c:pt>
                <c:pt idx="16">
                  <c:v>2.64E-2</c:v>
                </c:pt>
                <c:pt idx="17">
                  <c:v>2.5300000000000003E-2</c:v>
                </c:pt>
                <c:pt idx="18">
                  <c:v>2.4199999999999999E-2</c:v>
                </c:pt>
                <c:pt idx="19">
                  <c:v>2.3100000000000002E-2</c:v>
                </c:pt>
                <c:pt idx="20">
                  <c:v>2.1999999999999999E-2</c:v>
                </c:pt>
                <c:pt idx="21">
                  <c:v>2.4125000000000001E-2</c:v>
                </c:pt>
                <c:pt idx="22">
                  <c:v>2.6249999999999999E-2</c:v>
                </c:pt>
                <c:pt idx="23">
                  <c:v>2.8375000000000001E-2</c:v>
                </c:pt>
                <c:pt idx="24">
                  <c:v>3.0499999999999999E-2</c:v>
                </c:pt>
                <c:pt idx="25">
                  <c:v>3.2625000000000001E-2</c:v>
                </c:pt>
                <c:pt idx="26">
                  <c:v>3.4750000000000003E-2</c:v>
                </c:pt>
                <c:pt idx="27">
                  <c:v>3.6874999999999998E-2</c:v>
                </c:pt>
                <c:pt idx="28">
                  <c:v>3.9E-2</c:v>
                </c:pt>
                <c:pt idx="29">
                  <c:v>4.1124999999999995E-2</c:v>
                </c:pt>
                <c:pt idx="30">
                  <c:v>4.3249999999999997E-2</c:v>
                </c:pt>
                <c:pt idx="31">
                  <c:v>4.4600000000000001E-2</c:v>
                </c:pt>
                <c:pt idx="32">
                  <c:v>-2.7299999999999998E-2</c:v>
                </c:pt>
                <c:pt idx="33">
                  <c:v>-2.5949999999999997E-2</c:v>
                </c:pt>
                <c:pt idx="34">
                  <c:v>-2.46E-2</c:v>
                </c:pt>
                <c:pt idx="35">
                  <c:v>-2.325E-2</c:v>
                </c:pt>
                <c:pt idx="36">
                  <c:v>-2.1899999999999996E-2</c:v>
                </c:pt>
                <c:pt idx="37">
                  <c:v>-2.0549999999999995E-2</c:v>
                </c:pt>
                <c:pt idx="38">
                  <c:v>-1.9200000000000002E-2</c:v>
                </c:pt>
                <c:pt idx="39">
                  <c:v>-1.7849999999999998E-2</c:v>
                </c:pt>
                <c:pt idx="40">
                  <c:v>-1.6500000000000001E-2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18-4BF3-9197-37EC5B38D2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4265951"/>
        <c:axId val="307941903"/>
      </c:scatterChart>
      <c:valAx>
        <c:axId val="384265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07941903"/>
        <c:crosses val="autoZero"/>
        <c:crossBetween val="midCat"/>
      </c:valAx>
      <c:valAx>
        <c:axId val="307941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842659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578642</xdr:colOff>
      <xdr:row>14</xdr:row>
      <xdr:rowOff>135731</xdr:rowOff>
    </xdr:from>
    <xdr:to>
      <xdr:col>9</xdr:col>
      <xdr:colOff>111917</xdr:colOff>
      <xdr:row>29</xdr:row>
      <xdr:rowOff>21431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2913548F-AFFA-263C-7EBA-58753890D0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50"/>
  <sheetViews>
    <sheetView tabSelected="1" workbookViewId="0">
      <selection activeCell="J4" sqref="J4"/>
    </sheetView>
  </sheetViews>
  <sheetFormatPr defaultRowHeight="15" x14ac:dyDescent="0.4"/>
  <cols>
    <col min="1" max="2" width="9.73046875" style="2" bestFit="1" customWidth="1"/>
    <col min="3" max="3" width="12.9296875" style="2" bestFit="1" customWidth="1"/>
    <col min="4" max="4" width="12.46484375" style="2" bestFit="1" customWidth="1"/>
    <col min="5" max="5" width="13.86328125" style="2" bestFit="1" customWidth="1"/>
    <col min="6" max="6" width="7.59765625" style="2" bestFit="1" customWidth="1"/>
    <col min="7" max="7" width="9.73046875" style="2" bestFit="1" customWidth="1"/>
    <col min="8" max="8" width="14.265625" style="2" bestFit="1" customWidth="1"/>
    <col min="9" max="9" width="10.265625" style="2" bestFit="1" customWidth="1"/>
    <col min="10" max="10" width="13.86328125" style="2" bestFit="1" customWidth="1"/>
    <col min="11" max="11" width="9.73046875" style="2" bestFit="1" customWidth="1"/>
    <col min="12" max="12" width="12.6640625" style="2" bestFit="1" customWidth="1"/>
    <col min="13" max="13" width="13.86328125" style="2" bestFit="1" customWidth="1"/>
    <col min="14" max="14" width="5.73046875" style="2" bestFit="1" customWidth="1"/>
    <col min="15" max="15" width="8" style="2" bestFit="1" customWidth="1"/>
    <col min="16" max="16" width="7.46484375" style="2" bestFit="1" customWidth="1"/>
    <col min="17" max="17" width="13.1328125" style="2" bestFit="1" customWidth="1"/>
    <col min="18" max="18" width="8.53125" style="2" bestFit="1" customWidth="1"/>
    <col min="19" max="19" width="8" style="2" bestFit="1" customWidth="1"/>
    <col min="20" max="20" width="9" style="2"/>
    <col min="21" max="21" width="9" style="1"/>
  </cols>
  <sheetData>
    <row r="1" spans="1:19" ht="20.25" x14ac:dyDescent="0.45">
      <c r="A1" s="7" t="s">
        <v>26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x14ac:dyDescent="0.4">
      <c r="A2" s="9" t="s">
        <v>15</v>
      </c>
      <c r="B2" s="9"/>
      <c r="C2" s="9"/>
      <c r="D2" s="9"/>
      <c r="E2" s="9"/>
      <c r="H2" s="9" t="s">
        <v>16</v>
      </c>
      <c r="I2" s="9"/>
      <c r="J2" s="9"/>
      <c r="K2" s="9"/>
      <c r="L2" s="9"/>
      <c r="M2" s="9"/>
      <c r="Q2" s="8" t="s">
        <v>9</v>
      </c>
      <c r="R2" s="8"/>
      <c r="S2" s="8"/>
    </row>
    <row r="3" spans="1:19" x14ac:dyDescent="0.4">
      <c r="A3" s="3" t="s">
        <v>0</v>
      </c>
      <c r="B3" s="3" t="s">
        <v>1</v>
      </c>
      <c r="C3" s="3" t="s">
        <v>3</v>
      </c>
      <c r="D3" s="3" t="s">
        <v>8</v>
      </c>
      <c r="E3" s="4" t="s">
        <v>2</v>
      </c>
      <c r="H3" s="4" t="s">
        <v>4</v>
      </c>
      <c r="I3" s="4" t="s">
        <v>5</v>
      </c>
      <c r="J3" s="4" t="s">
        <v>6</v>
      </c>
      <c r="K3" s="4" t="s">
        <v>7</v>
      </c>
      <c r="L3" s="4" t="s">
        <v>13</v>
      </c>
      <c r="M3" s="4" t="s">
        <v>14</v>
      </c>
      <c r="Q3" s="2" t="s">
        <v>12</v>
      </c>
      <c r="R3" s="2" t="s">
        <v>11</v>
      </c>
      <c r="S3" s="2" t="s">
        <v>10</v>
      </c>
    </row>
    <row r="4" spans="1:19" x14ac:dyDescent="0.4">
      <c r="A4" s="3">
        <v>135000</v>
      </c>
      <c r="B4" s="3">
        <v>300.60000000000002</v>
      </c>
      <c r="C4" s="3">
        <v>1.8</v>
      </c>
      <c r="D4" s="3">
        <v>18000</v>
      </c>
      <c r="E4" s="4">
        <f>(A4*9.8)/(0.5*I4*H4^2*B4*2)</f>
        <v>0.12825545086648585</v>
      </c>
      <c r="H4" s="4">
        <f>C4*M4</f>
        <v>531.12508831632874</v>
      </c>
      <c r="I4" s="4">
        <f>J4/(287.05287*216.65)</f>
        <v>0.12164700015396786</v>
      </c>
      <c r="J4" s="4">
        <f>IF(L4&lt;=11000,
101325*((288.15-0.0065*L4)/288.15)^(-9.80665/(287*-0.0065)),
22632.0603973166*EXP(-9.80665*(L4-11000)/(287.05287*216.65))
)</f>
        <v>7565.2274608934804</v>
      </c>
      <c r="K4" s="4">
        <f>IF(L4&lt;=11000,288.15-0.0065*L4,216.65)</f>
        <v>216.65</v>
      </c>
      <c r="L4" s="4">
        <f>6356766*(D4)/(6356766+D4)</f>
        <v>17949.174604997264</v>
      </c>
      <c r="M4" s="4">
        <f>SQRT(1.4*287.05287*K4)</f>
        <v>295.06949350907149</v>
      </c>
      <c r="Q4" s="2">
        <v>1.2250000000000001</v>
      </c>
      <c r="R4" s="2">
        <v>101325</v>
      </c>
      <c r="S4" s="2">
        <v>288.14999999999998</v>
      </c>
    </row>
    <row r="6" spans="1:19" x14ac:dyDescent="0.4">
      <c r="A6" s="9" t="s">
        <v>24</v>
      </c>
      <c r="B6" s="9"/>
      <c r="C6" s="9"/>
      <c r="D6" s="9"/>
      <c r="E6" s="9"/>
      <c r="F6" s="9"/>
      <c r="G6" s="9"/>
      <c r="H6" s="9"/>
    </row>
    <row r="7" spans="1:19" x14ac:dyDescent="0.4">
      <c r="A7" s="5" t="s">
        <v>17</v>
      </c>
      <c r="B7" s="5" t="s">
        <v>18</v>
      </c>
      <c r="C7" s="5" t="s">
        <v>19</v>
      </c>
      <c r="D7" s="5" t="s">
        <v>20</v>
      </c>
      <c r="E7" s="5" t="s">
        <v>23</v>
      </c>
      <c r="F7" s="5" t="s">
        <v>22</v>
      </c>
      <c r="G7" s="6" t="s">
        <v>25</v>
      </c>
      <c r="H7" s="6" t="s">
        <v>21</v>
      </c>
    </row>
    <row r="8" spans="1:19" x14ac:dyDescent="0.4">
      <c r="A8" s="3">
        <v>0.45</v>
      </c>
      <c r="B8" s="3"/>
      <c r="C8" s="3"/>
      <c r="D8" s="3"/>
      <c r="E8" s="3"/>
      <c r="F8" s="3"/>
      <c r="G8" s="4"/>
      <c r="H8" s="4"/>
    </row>
    <row r="9" spans="1:19" x14ac:dyDescent="0.4">
      <c r="L9" s="2" t="s">
        <v>31</v>
      </c>
      <c r="M9" s="2" t="s">
        <v>32</v>
      </c>
    </row>
    <row r="10" spans="1:19" x14ac:dyDescent="0.4">
      <c r="K10" s="2">
        <v>0</v>
      </c>
      <c r="L10" s="2">
        <f t="shared" ref="L10:L20" si="0">0.5*$A$14*K10</f>
        <v>0</v>
      </c>
      <c r="M10" s="2">
        <f t="shared" ref="M10:M20" si="1">2*L10*$B$14/$A$14</f>
        <v>0</v>
      </c>
    </row>
    <row r="11" spans="1:19" x14ac:dyDescent="0.4">
      <c r="A11" s="2" t="s">
        <v>27</v>
      </c>
      <c r="B11" s="2" t="s">
        <v>28</v>
      </c>
      <c r="C11" s="2" t="s">
        <v>29</v>
      </c>
      <c r="D11" s="2" t="s">
        <v>30</v>
      </c>
      <c r="K11" s="2">
        <v>0.1</v>
      </c>
      <c r="L11" s="2">
        <f t="shared" si="0"/>
        <v>0.125</v>
      </c>
      <c r="M11" s="2">
        <f t="shared" si="1"/>
        <v>3.3E-3</v>
      </c>
    </row>
    <row r="12" spans="1:19" x14ac:dyDescent="0.4">
      <c r="A12" s="2">
        <v>135000</v>
      </c>
      <c r="B12" s="2">
        <v>72</v>
      </c>
      <c r="C12" s="2">
        <v>18000</v>
      </c>
      <c r="D12" s="2">
        <v>1.8</v>
      </c>
      <c r="K12" s="2">
        <v>0.2</v>
      </c>
      <c r="L12" s="2">
        <f t="shared" si="0"/>
        <v>0.25</v>
      </c>
      <c r="M12" s="2">
        <f t="shared" si="1"/>
        <v>6.6E-3</v>
      </c>
    </row>
    <row r="13" spans="1:19" x14ac:dyDescent="0.4">
      <c r="A13" s="2" t="s">
        <v>36</v>
      </c>
      <c r="B13" s="2" t="s">
        <v>35</v>
      </c>
      <c r="C13" s="2" t="s">
        <v>34</v>
      </c>
      <c r="D13" s="2" t="s">
        <v>33</v>
      </c>
      <c r="K13" s="2">
        <v>0.30000000000000004</v>
      </c>
      <c r="L13" s="2">
        <f t="shared" si="0"/>
        <v>0.37500000000000006</v>
      </c>
      <c r="M13" s="2">
        <f t="shared" si="1"/>
        <v>9.9000000000000025E-3</v>
      </c>
    </row>
    <row r="14" spans="1:19" x14ac:dyDescent="0.4">
      <c r="A14" s="2">
        <v>2.5</v>
      </c>
      <c r="B14" s="2">
        <v>3.3000000000000002E-2</v>
      </c>
      <c r="C14" s="2">
        <v>2.1999999999999999E-2</v>
      </c>
      <c r="D14" s="2">
        <v>5.0000000000000001E-4</v>
      </c>
      <c r="K14" s="2">
        <v>0.4</v>
      </c>
      <c r="L14" s="2">
        <f t="shared" si="0"/>
        <v>0.5</v>
      </c>
      <c r="M14" s="2">
        <f t="shared" si="1"/>
        <v>1.32E-2</v>
      </c>
    </row>
    <row r="15" spans="1:19" x14ac:dyDescent="0.4">
      <c r="A15" s="2" t="s">
        <v>37</v>
      </c>
      <c r="B15" s="2" t="s">
        <v>38</v>
      </c>
      <c r="K15" s="2">
        <v>0.5</v>
      </c>
      <c r="L15" s="2">
        <f t="shared" si="0"/>
        <v>0.625</v>
      </c>
      <c r="M15" s="2">
        <f t="shared" si="1"/>
        <v>1.6500000000000001E-2</v>
      </c>
    </row>
    <row r="16" spans="1:19" x14ac:dyDescent="0.4">
      <c r="A16" s="2">
        <v>45</v>
      </c>
      <c r="B16" s="2">
        <v>0.03</v>
      </c>
      <c r="K16" s="2">
        <v>0.60000000000000009</v>
      </c>
      <c r="L16" s="2">
        <f t="shared" si="0"/>
        <v>0.75000000000000011</v>
      </c>
      <c r="M16" s="2">
        <f t="shared" si="1"/>
        <v>1.9800000000000005E-2</v>
      </c>
    </row>
    <row r="17" spans="11:13" x14ac:dyDescent="0.4">
      <c r="K17" s="2">
        <v>0.70000000000000007</v>
      </c>
      <c r="L17" s="2">
        <f t="shared" si="0"/>
        <v>0.87500000000000011</v>
      </c>
      <c r="M17" s="2">
        <f t="shared" si="1"/>
        <v>2.3100000000000002E-2</v>
      </c>
    </row>
    <row r="18" spans="11:13" x14ac:dyDescent="0.4">
      <c r="K18" s="2">
        <v>0.8</v>
      </c>
      <c r="L18" s="2">
        <f t="shared" si="0"/>
        <v>1</v>
      </c>
      <c r="M18" s="2">
        <f t="shared" si="1"/>
        <v>2.64E-2</v>
      </c>
    </row>
    <row r="19" spans="11:13" x14ac:dyDescent="0.4">
      <c r="K19" s="2">
        <v>0.9</v>
      </c>
      <c r="L19" s="2">
        <f t="shared" si="0"/>
        <v>1.125</v>
      </c>
      <c r="M19" s="2">
        <f t="shared" si="1"/>
        <v>2.9700000000000004E-2</v>
      </c>
    </row>
    <row r="20" spans="11:13" x14ac:dyDescent="0.4">
      <c r="K20" s="2">
        <v>1</v>
      </c>
      <c r="L20" s="2">
        <f t="shared" si="0"/>
        <v>1.25</v>
      </c>
      <c r="M20" s="2">
        <f t="shared" si="1"/>
        <v>3.3000000000000002E-2</v>
      </c>
    </row>
    <row r="21" spans="11:13" x14ac:dyDescent="0.4">
      <c r="L21" s="2">
        <f t="shared" ref="L21:L30" si="2">0.5*$A$14+0.5*K11*$A$14</f>
        <v>1.375</v>
      </c>
      <c r="M21" s="2">
        <f t="shared" ref="M21:M30" si="3">$C$14*(2*L21/$A$14-1)-$B$14*(2*L21/$A$14-2)</f>
        <v>3.1899999999999998E-2</v>
      </c>
    </row>
    <row r="22" spans="11:13" x14ac:dyDescent="0.4">
      <c r="L22" s="2">
        <f t="shared" si="2"/>
        <v>1.5</v>
      </c>
      <c r="M22" s="2">
        <f t="shared" si="3"/>
        <v>3.0800000000000001E-2</v>
      </c>
    </row>
    <row r="23" spans="11:13" x14ac:dyDescent="0.4">
      <c r="L23" s="2">
        <f t="shared" si="2"/>
        <v>1.625</v>
      </c>
      <c r="M23" s="2">
        <f t="shared" si="3"/>
        <v>2.9700000000000001E-2</v>
      </c>
    </row>
    <row r="24" spans="11:13" x14ac:dyDescent="0.4">
      <c r="L24" s="2">
        <f t="shared" si="2"/>
        <v>1.75</v>
      </c>
      <c r="M24" s="2">
        <f t="shared" si="3"/>
        <v>2.86E-2</v>
      </c>
    </row>
    <row r="25" spans="11:13" x14ac:dyDescent="0.4">
      <c r="L25" s="2">
        <f t="shared" si="2"/>
        <v>1.875</v>
      </c>
      <c r="M25" s="2">
        <f t="shared" si="3"/>
        <v>2.75E-2</v>
      </c>
    </row>
    <row r="26" spans="11:13" x14ac:dyDescent="0.4">
      <c r="L26" s="2">
        <f t="shared" si="2"/>
        <v>2</v>
      </c>
      <c r="M26" s="2">
        <f t="shared" si="3"/>
        <v>2.64E-2</v>
      </c>
    </row>
    <row r="27" spans="11:13" x14ac:dyDescent="0.4">
      <c r="L27" s="2">
        <f t="shared" si="2"/>
        <v>2.125</v>
      </c>
      <c r="M27" s="2">
        <f t="shared" si="3"/>
        <v>2.5300000000000003E-2</v>
      </c>
    </row>
    <row r="28" spans="11:13" x14ac:dyDescent="0.4">
      <c r="L28" s="2">
        <f t="shared" si="2"/>
        <v>2.25</v>
      </c>
      <c r="M28" s="2">
        <f t="shared" si="3"/>
        <v>2.4199999999999999E-2</v>
      </c>
    </row>
    <row r="29" spans="11:13" x14ac:dyDescent="0.4">
      <c r="L29" s="2">
        <f t="shared" si="2"/>
        <v>2.375</v>
      </c>
      <c r="M29" s="2">
        <f t="shared" si="3"/>
        <v>2.3100000000000002E-2</v>
      </c>
    </row>
    <row r="30" spans="11:13" x14ac:dyDescent="0.4">
      <c r="L30" s="2">
        <f t="shared" si="2"/>
        <v>2.5</v>
      </c>
      <c r="M30" s="2">
        <f t="shared" si="3"/>
        <v>2.1999999999999999E-2</v>
      </c>
    </row>
    <row r="31" spans="11:13" x14ac:dyDescent="0.4">
      <c r="L31" s="2">
        <f>$A$14+K11*($A$16-$A$14)</f>
        <v>6.75</v>
      </c>
      <c r="M31" s="2">
        <f>$D$14*(L31-$A$14)+$C$14</f>
        <v>2.4125000000000001E-2</v>
      </c>
    </row>
    <row r="32" spans="11:13" x14ac:dyDescent="0.4">
      <c r="L32" s="2">
        <f t="shared" ref="L32:L40" si="4">$A$14+K12*($A$16-$A$14)</f>
        <v>11</v>
      </c>
      <c r="M32" s="2">
        <f t="shared" ref="M32:M41" si="5">$D$14*(L32-$A$14)+$C$14</f>
        <v>2.6249999999999999E-2</v>
      </c>
    </row>
    <row r="33" spans="12:13" x14ac:dyDescent="0.4">
      <c r="L33" s="2">
        <f t="shared" si="4"/>
        <v>15.250000000000002</v>
      </c>
      <c r="M33" s="2">
        <f t="shared" si="5"/>
        <v>2.8375000000000001E-2</v>
      </c>
    </row>
    <row r="34" spans="12:13" x14ac:dyDescent="0.4">
      <c r="L34" s="2">
        <f t="shared" si="4"/>
        <v>19.5</v>
      </c>
      <c r="M34" s="2">
        <f t="shared" si="5"/>
        <v>3.0499999999999999E-2</v>
      </c>
    </row>
    <row r="35" spans="12:13" x14ac:dyDescent="0.4">
      <c r="L35" s="2">
        <f t="shared" si="4"/>
        <v>23.75</v>
      </c>
      <c r="M35" s="2">
        <f t="shared" si="5"/>
        <v>3.2625000000000001E-2</v>
      </c>
    </row>
    <row r="36" spans="12:13" x14ac:dyDescent="0.4">
      <c r="L36" s="2">
        <f t="shared" si="4"/>
        <v>28.000000000000004</v>
      </c>
      <c r="M36" s="2">
        <f t="shared" si="5"/>
        <v>3.4750000000000003E-2</v>
      </c>
    </row>
    <row r="37" spans="12:13" x14ac:dyDescent="0.4">
      <c r="L37" s="2">
        <f t="shared" si="4"/>
        <v>32.25</v>
      </c>
      <c r="M37" s="2">
        <f t="shared" si="5"/>
        <v>3.6874999999999998E-2</v>
      </c>
    </row>
    <row r="38" spans="12:13" x14ac:dyDescent="0.4">
      <c r="L38" s="2">
        <f t="shared" si="4"/>
        <v>36.5</v>
      </c>
      <c r="M38" s="2">
        <f t="shared" si="5"/>
        <v>3.9E-2</v>
      </c>
    </row>
    <row r="39" spans="12:13" x14ac:dyDescent="0.4">
      <c r="L39" s="2">
        <f t="shared" si="4"/>
        <v>40.75</v>
      </c>
      <c r="M39" s="2">
        <f t="shared" si="5"/>
        <v>4.1124999999999995E-2</v>
      </c>
    </row>
    <row r="40" spans="12:13" x14ac:dyDescent="0.4">
      <c r="L40" s="2">
        <f t="shared" si="4"/>
        <v>45</v>
      </c>
      <c r="M40" s="2">
        <f t="shared" si="5"/>
        <v>4.3249999999999997E-2</v>
      </c>
    </row>
    <row r="41" spans="12:13" x14ac:dyDescent="0.4">
      <c r="L41" s="2">
        <f>$A$16+K11*($B$12-$A$16)</f>
        <v>47.7</v>
      </c>
      <c r="M41" s="2">
        <f t="shared" si="5"/>
        <v>4.4600000000000001E-2</v>
      </c>
    </row>
    <row r="42" spans="12:13" x14ac:dyDescent="0.4">
      <c r="L42" s="2">
        <f t="shared" ref="L42:L50" si="6">$A$16+K12*($B$12-$A$16)</f>
        <v>50.4</v>
      </c>
      <c r="M42" s="2">
        <f>$D$14*(L42-$A$16)-$B$16</f>
        <v>-2.7299999999999998E-2</v>
      </c>
    </row>
    <row r="43" spans="12:13" x14ac:dyDescent="0.4">
      <c r="L43" s="2">
        <f t="shared" si="6"/>
        <v>53.1</v>
      </c>
      <c r="M43" s="2">
        <f t="shared" ref="M43:M50" si="7">$D$14*(L43-$A$16)-$B$16</f>
        <v>-2.5949999999999997E-2</v>
      </c>
    </row>
    <row r="44" spans="12:13" x14ac:dyDescent="0.4">
      <c r="L44" s="2">
        <f t="shared" si="6"/>
        <v>55.8</v>
      </c>
      <c r="M44" s="2">
        <f t="shared" si="7"/>
        <v>-2.46E-2</v>
      </c>
    </row>
    <row r="45" spans="12:13" x14ac:dyDescent="0.4">
      <c r="L45" s="2">
        <f t="shared" si="6"/>
        <v>58.5</v>
      </c>
      <c r="M45" s="2">
        <f t="shared" si="7"/>
        <v>-2.325E-2</v>
      </c>
    </row>
    <row r="46" spans="12:13" x14ac:dyDescent="0.4">
      <c r="L46" s="2">
        <f t="shared" si="6"/>
        <v>61.2</v>
      </c>
      <c r="M46" s="2">
        <f t="shared" si="7"/>
        <v>-2.1899999999999996E-2</v>
      </c>
    </row>
    <row r="47" spans="12:13" x14ac:dyDescent="0.4">
      <c r="L47" s="2">
        <f t="shared" si="6"/>
        <v>63.900000000000006</v>
      </c>
      <c r="M47" s="2">
        <f t="shared" si="7"/>
        <v>-2.0549999999999995E-2</v>
      </c>
    </row>
    <row r="48" spans="12:13" x14ac:dyDescent="0.4">
      <c r="L48" s="2">
        <f t="shared" si="6"/>
        <v>66.599999999999994</v>
      </c>
      <c r="M48" s="2">
        <f t="shared" si="7"/>
        <v>-1.9200000000000002E-2</v>
      </c>
    </row>
    <row r="49" spans="12:13" x14ac:dyDescent="0.4">
      <c r="L49" s="2">
        <f t="shared" si="6"/>
        <v>69.3</v>
      </c>
      <c r="M49" s="2">
        <f t="shared" si="7"/>
        <v>-1.7849999999999998E-2</v>
      </c>
    </row>
    <row r="50" spans="12:13" x14ac:dyDescent="0.4">
      <c r="L50" s="2">
        <f t="shared" si="6"/>
        <v>72</v>
      </c>
      <c r="M50" s="2">
        <f t="shared" si="7"/>
        <v>-1.6500000000000001E-2</v>
      </c>
    </row>
  </sheetData>
  <mergeCells count="5">
    <mergeCell ref="A1:S1"/>
    <mergeCell ref="Q2:S2"/>
    <mergeCell ref="A2:E2"/>
    <mergeCell ref="H2:M2"/>
    <mergeCell ref="A6:H6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AMDOA506</dc:creator>
  <cp:lastModifiedBy>毅 林</cp:lastModifiedBy>
  <dcterms:created xsi:type="dcterms:W3CDTF">2015-06-05T18:19:34Z</dcterms:created>
  <dcterms:modified xsi:type="dcterms:W3CDTF">2026-08-19T15:01:16Z</dcterms:modified>
</cp:coreProperties>
</file>