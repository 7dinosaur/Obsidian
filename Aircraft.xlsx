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DOA506\Desktop\"/>
    </mc:Choice>
  </mc:AlternateContent>
  <xr:revisionPtr revIDLastSave="0" documentId="13_ncr:1_{6DD6342F-EDF6-442E-9538-1E3B61123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K4" i="1" l="1"/>
  <c r="M4" i="1" s="1"/>
  <c r="H4" i="1" s="1"/>
  <c r="J4" i="1"/>
  <c r="I4" i="1" s="1"/>
  <c r="E4" i="1" s="1"/>
</calcChain>
</file>

<file path=xl/sharedStrings.xml><?xml version="1.0" encoding="utf-8"?>
<sst xmlns="http://schemas.openxmlformats.org/spreadsheetml/2006/main" count="27" uniqueCount="27">
  <si>
    <t>巡航重量</t>
    <phoneticPr fontId="1" type="noConversion"/>
  </si>
  <si>
    <t>参考面积</t>
    <phoneticPr fontId="1" type="noConversion"/>
  </si>
  <si>
    <t>升力系数</t>
    <phoneticPr fontId="1" type="noConversion"/>
  </si>
  <si>
    <t>飞行马赫数</t>
    <phoneticPr fontId="1" type="noConversion"/>
  </si>
  <si>
    <t>绝对飞行速度</t>
    <phoneticPr fontId="1" type="noConversion"/>
  </si>
  <si>
    <t>大气密度</t>
    <phoneticPr fontId="1" type="noConversion"/>
  </si>
  <si>
    <t>大气静压</t>
    <phoneticPr fontId="1" type="noConversion"/>
  </si>
  <si>
    <t>大气温度</t>
    <phoneticPr fontId="1" type="noConversion"/>
  </si>
  <si>
    <t>飞行高度/m</t>
    <phoneticPr fontId="1" type="noConversion"/>
  </si>
  <si>
    <t>海平面参数</t>
    <phoneticPr fontId="1" type="noConversion"/>
  </si>
  <si>
    <t>温度/K</t>
    <phoneticPr fontId="1" type="noConversion"/>
  </si>
  <si>
    <t>压强/Pa</t>
    <phoneticPr fontId="1" type="noConversion"/>
  </si>
  <si>
    <t>密度/kg·m-3</t>
    <phoneticPr fontId="1" type="noConversion"/>
  </si>
  <si>
    <t>位势高度</t>
    <phoneticPr fontId="1" type="noConversion"/>
  </si>
  <si>
    <t>声速</t>
    <phoneticPr fontId="1" type="noConversion"/>
  </si>
  <si>
    <t>定升力</t>
    <phoneticPr fontId="1" type="noConversion"/>
  </si>
  <si>
    <t>当地大气参数</t>
    <phoneticPr fontId="1" type="noConversion"/>
  </si>
  <si>
    <t>空重系数</t>
    <phoneticPr fontId="1" type="noConversion"/>
  </si>
  <si>
    <t>载客量</t>
    <phoneticPr fontId="1" type="noConversion"/>
  </si>
  <si>
    <t>乘客重量/kg</t>
    <phoneticPr fontId="1" type="noConversion"/>
  </si>
  <si>
    <t>升阻比</t>
    <phoneticPr fontId="1" type="noConversion"/>
  </si>
  <si>
    <t>航程</t>
    <phoneticPr fontId="1" type="noConversion"/>
  </si>
  <si>
    <t>耗油率</t>
    <phoneticPr fontId="1" type="noConversion"/>
  </si>
  <si>
    <t>起飞总重</t>
    <phoneticPr fontId="1" type="noConversion"/>
  </si>
  <si>
    <t>重量估算</t>
    <phoneticPr fontId="1" type="noConversion"/>
  </si>
  <si>
    <t>燃油重量</t>
    <phoneticPr fontId="1" type="noConversion"/>
  </si>
  <si>
    <t>绿色单元格为输入，红色单元格为输出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</si>
</sst>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K10" sqref="K10"/>
    </sheetView>
  </sheetViews>
  <sheetFormatPr defaultRowHeight="15.75" x14ac:dyDescent="0.25"/>
  <cols>
    <col min="1" max="2" width="9.5" style="2" bestFit="1" customWidth="1"/>
    <col min="3" max="3" width="12.625" style="2" bestFit="1" customWidth="1"/>
    <col min="4" max="4" width="12.125" style="2" bestFit="1" customWidth="1"/>
    <col min="5" max="5" width="12.75" style="2" bestFit="1" customWidth="1"/>
    <col min="6" max="6" width="7.5" style="2" bestFit="1" customWidth="1"/>
    <col min="7" max="7" width="13" style="2" bestFit="1" customWidth="1"/>
    <col min="8" max="8" width="13.875" style="2" bestFit="1" customWidth="1"/>
    <col min="9" max="9" width="9.5" style="2" bestFit="1" customWidth="1"/>
    <col min="10" max="10" width="12.75" style="2" bestFit="1" customWidth="1"/>
    <col min="11" max="11" width="9.5" style="2" bestFit="1" customWidth="1"/>
    <col min="12" max="12" width="11.625" style="2" bestFit="1" customWidth="1"/>
    <col min="13" max="13" width="12.75" style="2" bestFit="1" customWidth="1"/>
    <col min="14" max="14" width="12.25" style="2" bestFit="1" customWidth="1"/>
    <col min="15" max="15" width="8" style="2" bestFit="1" customWidth="1"/>
    <col min="16" max="16" width="7.5" style="2" bestFit="1" customWidth="1"/>
    <col min="17" max="17" width="12.75" style="2" bestFit="1" customWidth="1"/>
    <col min="18" max="18" width="8.375" style="2" bestFit="1" customWidth="1"/>
    <col min="19" max="19" width="7.5" style="2" bestFit="1" customWidth="1"/>
    <col min="20" max="20" width="9" style="2"/>
    <col min="21" max="21" width="9" style="1"/>
  </cols>
  <sheetData>
    <row r="1" spans="1:19" ht="20.25" x14ac:dyDescent="0.25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25">
      <c r="A2" s="3" t="s">
        <v>15</v>
      </c>
      <c r="B2" s="3"/>
      <c r="C2" s="3"/>
      <c r="D2" s="3"/>
      <c r="E2" s="3"/>
      <c r="H2" s="3" t="s">
        <v>16</v>
      </c>
      <c r="I2" s="3"/>
      <c r="J2" s="3"/>
      <c r="K2" s="3"/>
      <c r="L2" s="3"/>
      <c r="M2" s="3"/>
      <c r="Q2" s="4" t="s">
        <v>9</v>
      </c>
      <c r="R2" s="4"/>
      <c r="S2" s="4"/>
    </row>
    <row r="3" spans="1:19" x14ac:dyDescent="0.25">
      <c r="A3" s="5" t="s">
        <v>0</v>
      </c>
      <c r="B3" s="5" t="s">
        <v>1</v>
      </c>
      <c r="C3" s="5" t="s">
        <v>3</v>
      </c>
      <c r="D3" s="5" t="s">
        <v>8</v>
      </c>
      <c r="E3" s="6" t="s">
        <v>2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13</v>
      </c>
      <c r="M3" s="6" t="s">
        <v>14</v>
      </c>
      <c r="Q3" s="2" t="s">
        <v>12</v>
      </c>
      <c r="R3" s="2" t="s">
        <v>11</v>
      </c>
      <c r="S3" s="2" t="s">
        <v>10</v>
      </c>
    </row>
    <row r="4" spans="1:19" x14ac:dyDescent="0.25">
      <c r="A4" s="5">
        <v>135000</v>
      </c>
      <c r="B4" s="5">
        <v>300.60000000000002</v>
      </c>
      <c r="C4" s="5">
        <v>1.8</v>
      </c>
      <c r="D4" s="5">
        <v>18000</v>
      </c>
      <c r="E4" s="6">
        <f>(A4*9.8)/(0.5*I4*H4^2*B4*2)</f>
        <v>0.12825545086648585</v>
      </c>
      <c r="H4" s="6">
        <f>C4*M4</f>
        <v>531.12508831632874</v>
      </c>
      <c r="I4" s="6">
        <f>J4/(287.05287*216.65)</f>
        <v>0.12164700015396786</v>
      </c>
      <c r="J4" s="6">
        <f>IF(L4&lt;=11000,
101325*((288.15-0.0065*L4)/288.15)^(-9.80665/(287*-0.0065)),
22632.0603973166*EXP(-9.80665*(L4-11000)/(287.05287*216.65))
)</f>
        <v>7565.2274608934804</v>
      </c>
      <c r="K4" s="6">
        <f>IF(L4&lt;=11000,288.15-0.0065*L4,216.65)</f>
        <v>216.65</v>
      </c>
      <c r="L4" s="6">
        <f>6356766*(D4)/(6356766+D4)</f>
        <v>17949.174604997264</v>
      </c>
      <c r="M4" s="6">
        <f>SQRT(1.4*287.05287*K4)</f>
        <v>295.06949350907149</v>
      </c>
      <c r="Q4" s="2">
        <v>1.2250000000000001</v>
      </c>
      <c r="R4" s="2">
        <v>101325</v>
      </c>
      <c r="S4" s="2">
        <v>288.14999999999998</v>
      </c>
    </row>
    <row r="6" spans="1:19" x14ac:dyDescent="0.25">
      <c r="A6" s="3" t="s">
        <v>24</v>
      </c>
      <c r="B6" s="3"/>
      <c r="C6" s="3"/>
      <c r="D6" s="3"/>
      <c r="E6" s="3"/>
      <c r="F6" s="3"/>
      <c r="G6" s="3"/>
      <c r="H6" s="3"/>
    </row>
    <row r="7" spans="1:19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23</v>
      </c>
      <c r="F7" s="7" t="s">
        <v>22</v>
      </c>
      <c r="G7" s="8" t="s">
        <v>25</v>
      </c>
      <c r="H7" s="8" t="s">
        <v>21</v>
      </c>
    </row>
    <row r="8" spans="1:19" x14ac:dyDescent="0.25">
      <c r="A8" s="5">
        <v>0.45</v>
      </c>
      <c r="B8" s="5"/>
      <c r="C8" s="5"/>
      <c r="D8" s="5"/>
      <c r="E8" s="5"/>
      <c r="F8" s="5"/>
      <c r="G8" s="6"/>
      <c r="H8" s="6"/>
    </row>
  </sheetData>
  <mergeCells count="5">
    <mergeCell ref="A1:S1"/>
    <mergeCell ref="Q2:S2"/>
    <mergeCell ref="A2:E2"/>
    <mergeCell ref="H2:M2"/>
    <mergeCell ref="A6:H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AMDOA506</dc:creator>
  <cp:lastModifiedBy>AMDOA506</cp:lastModifiedBy>
  <dcterms:created xsi:type="dcterms:W3CDTF">2015-06-05T18:19:34Z</dcterms:created>
  <dcterms:modified xsi:type="dcterms:W3CDTF">2026-08-06T09:46:45Z</dcterms:modified>
</cp:coreProperties>
</file>